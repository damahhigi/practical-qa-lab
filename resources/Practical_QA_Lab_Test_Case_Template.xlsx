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c2c057592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82f80f6b9df4007"/>
    <x:sheet xmlns:r="http://schemas.openxmlformats.org/officeDocument/2006/relationships" name="Test Case Tracker" sheetId="2" r:id="Rf6a03fdeab8e4b1b"/>
    <x:sheet xmlns:r="http://schemas.openxmlformats.org/officeDocument/2006/relationships" name="Filled Examples" sheetId="3" r:id="R619fabbaab9d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name val="Carlito"/>
    </x:font>
    <x:font>
      <x:b/>
      <x:sz val="19"/>
      <x:color rgb="FFFFFFFF"/>
      <x:name val="Carlito"/>
    </x:font>
    <x:font>
      <x:sz val="12"/>
      <x:color rgb="FF50677A"/>
      <x:name val="Carlito"/>
    </x:font>
    <x:font>
      <x:b/>
      <x:sz val="12"/>
      <x:color rgb="FF087C61"/>
      <x:name val="Carlito"/>
    </x:font>
    <x:font>
      <x:sz val="11"/>
      <x:color rgb="FF0B2239"/>
      <x:name val="Carlito"/>
    </x:font>
    <x:font>
      <x:b/>
      <x:sz val="11"/>
      <x:color rgb="FF087C61"/>
      <x:name val="Carlito"/>
    </x:font>
    <x:font>
      <x:i/>
      <x:sz val="10"/>
      <x:color rgb="FF50677A"/>
      <x:name val="Carlito"/>
    </x:font>
    <x:font>
      <x:sz val="11"/>
      <x:color rgb="FF50677A"/>
      <x:name val="Carlito"/>
    </x:font>
    <x:font>
      <x:b/>
      <x:sz val="13"/>
      <x:color rgb="FF0B2239"/>
      <x:name val="Carlito"/>
    </x:font>
    <x:font>
      <x:i/>
      <x:sz val="11"/>
      <x:color rgb="FF50677A"/>
      <x:name val="Carlito"/>
    </x:font>
    <x:font>
      <x:b/>
      <x:sz val="10"/>
      <x:color rgb="FFFFFFFF"/>
      <x:name val="Carlito"/>
    </x:font>
    <x:font>
      <x:sz val="10"/>
      <x:color rgb="FF0B223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239"/>
      </x:patternFill>
    </x:fill>
    <x:fill>
      <x:patternFill patternType="solid">
        <x:fgColor rgb="FFEAF7F2"/>
      </x:patternFill>
    </x:fill>
    <x:fill>
      <x:patternFill patternType="solid">
        <x:fgColor rgb="FFFFFFFF"/>
      </x:patternFill>
    </x:fill>
    <x:fill>
      <x:patternFill patternType="solid">
        <x:fgColor rgb="FFF4F7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5" fillId="3" borderId="0" xfId="0" applyNumberFormat="1" applyFont="1" applyFill="1" applyBorder="1"/>
    <x:xf numFmtId="200" fontId="5" fillId="3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200" fontId="8" fillId="3" borderId="0" xfId="0" applyNumberFormat="1" applyFont="1" applyFill="1" applyBorder="1"/>
    <x:xf numFmtId="200" fontId="8" fillId="3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087C61"/>
      </x:font>
      <x:fill>
        <x:patternFill patternType="solid">
          <x:bgColor rgb="FFE6F7EF"/>
        </x:patternFill>
      </x:fill>
    </x:dxf>
    <x:dxf>
      <x:font>
        <x:b/>
        <x:color rgb="FFB42318"/>
      </x:font>
      <x:fill>
        <x:patternFill patternType="solid">
          <x:bgColor rgb="FFFDEBEC"/>
        </x:patternFill>
      </x:fill>
    </x:dxf>
    <x:dxf>
      <x:font>
        <x:b/>
        <x:color rgb="FF996400"/>
      </x:font>
      <x:fill>
        <x:patternFill patternType="solid">
          <x:bgColor rgb="FFFFF3D5"/>
        </x:patternFill>
      </x:fill>
    </x:dxf>
    <x:dxf>
      <x:font>
        <x:b/>
        <x:color rgb="FF50677A"/>
      </x:font>
      <x:fill>
        <x:patternFill patternType="solid">
          <x:bgColor rgb="FFE9EFF5"/>
        </x:patternFill>
      </x:fill>
    </x:dxf>
    <x:dxf>
      <x:font>
        <x:b/>
        <x:color rgb="FF6F52A6"/>
      </x:font>
      <x:fill>
        <x:patternFill patternType="solid">
          <x:bgColor rgb="FFF2EFFC"/>
        </x:patternFill>
      </x:fill>
    </x:dxf>
    <x:dxf>
      <x:font>
        <x:b/>
        <x:color rgb="FF087C61"/>
      </x:font>
      <x:fill>
        <x:patternFill patternType="solid">
          <x:bgColor rgb="FFE6F7EF"/>
        </x:patternFill>
      </x:fill>
    </x:dxf>
    <x:dxf>
      <x:font>
        <x:b/>
        <x:color rgb="FFB42318"/>
      </x:font>
      <x:fill>
        <x:patternFill patternType="solid">
          <x:bgColor rgb="FFFDEBEC"/>
        </x:patternFill>
      </x:fill>
    </x:dxf>
    <x:dxf>
      <x:font>
        <x:b/>
        <x:color rgb="FF996400"/>
      </x:font>
      <x:fill>
        <x:patternFill patternType="solid">
          <x:bgColor rgb="FFFFF3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0c46f2ea34453" /><Relationship Type="http://schemas.openxmlformats.org/officeDocument/2006/relationships/theme" Target="/xl/theme/theme1.xml" Id="R844d3f0340854266" /><Relationship Type="http://schemas.openxmlformats.org/officeDocument/2006/relationships/sharedStrings" Target="/xl/sharedStrings.xml" Id="R98393ccbd4cf4013" /><Relationship Type="http://schemas.openxmlformats.org/officeDocument/2006/relationships/worksheet" Target="/xl/worksheets/sheet1.xml" Id="Rf82f80f6b9df4007" /><Relationship Type="http://schemas.openxmlformats.org/officeDocument/2006/relationships/worksheet" Target="/xl/worksheets/sheet2.xml" Id="Rf6a03fdeab8e4b1b" /><Relationship Type="http://schemas.openxmlformats.org/officeDocument/2006/relationships/worksheet" Target="/xl/worksheets/sheet3.xml" Id="R619fabbaab9d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4" t="str">
        <x:v>PRACTICAL QA LAB  |  TEST CASE TEMPLATE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8" t="str">
        <x:v>A reusable, editable test-case tracker + realistic examples</x:v>
      </x:c>
      <x:c r="B4" s="8"/>
      <x:c r="C4" s="8"/>
      <x:c r="D4" s="8"/>
      <x:c r="E4" s="8"/>
      <x:c r="F4" s="8"/>
      <x:c r="G4" s="8"/>
      <x:c r="H4" s="8"/>
    </x:row>
    <x:row r="6" ht="28" customHeight="1">
      <x:c r="A6" s="11" t="str">
        <x:v>HOW TO USE</x:v>
      </x:c>
      <x:c r="B6" s="11"/>
      <x:c r="C6" s="11"/>
      <x:c r="D6" s="11"/>
      <x:c r="E6" s="11"/>
      <x:c r="F6" s="11"/>
      <x:c r="G6" s="11"/>
      <x:c r="H6" s="11"/>
    </x:row>
    <x:row r="8" ht="29" customHeight="1">
      <x:c r="A8" s="15" t="str">
        <x:v>1  Open “Test Case Tracker” and enter one test case per row, beginning at row 10.</x:v>
      </x:c>
      <x:c r="B8" s="15"/>
      <x:c r="C8" s="15"/>
      <x:c r="D8" s="15"/>
      <x:c r="E8" s="15"/>
      <x:c r="F8" s="15"/>
      <x:c r="G8" s="15"/>
      <x:c r="H8" s="15"/>
    </x:row>
    <x:row r="9" ht="29" customHeight="1">
      <x:c r="A9" s="19" t="str">
        <x:v>2  Use the dropdown lists for Test Type, Priority and Status.</x:v>
      </x:c>
      <x:c r="B9" s="19"/>
      <x:c r="C9" s="19"/>
      <x:c r="D9" s="19"/>
      <x:c r="E9" s="19"/>
      <x:c r="F9" s="19"/>
      <x:c r="G9" s="19"/>
      <x:c r="H9" s="19"/>
    </x:row>
    <x:row r="10" ht="29" customHeight="1">
      <x:c r="A10" s="15" t="str">
        <x:v>3  Write reproducible steps and measurable expected results. Fill in actual results only when executed.</x:v>
      </x:c>
      <x:c r="B10" s="15"/>
      <x:c r="C10" s="15"/>
      <x:c r="D10" s="15"/>
      <x:c r="E10" s="15"/>
      <x:c r="F10" s="15"/>
      <x:c r="G10" s="15"/>
      <x:c r="H10" s="15"/>
    </x:row>
    <x:row r="11" ht="29" customHeight="1">
      <x:c r="A11" s="19" t="str">
        <x:v>4  Record a defect ID when a case fails. Use “Blocked” when execution cannot proceed.</x:v>
      </x:c>
      <x:c r="B11" s="19"/>
      <x:c r="C11" s="19"/>
      <x:c r="D11" s="19"/>
      <x:c r="E11" s="19"/>
      <x:c r="F11" s="19"/>
      <x:c r="G11" s="19"/>
      <x:c r="H11" s="19"/>
    </x:row>
    <x:row r="12" ht="29" customHeight="1">
      <x:c r="A12" s="15" t="str">
        <x:v>5  Watch the summary counts above the tracker update as you record results.</x:v>
      </x:c>
      <x:c r="B12" s="15"/>
      <x:c r="C12" s="15"/>
      <x:c r="D12" s="15"/>
      <x:c r="E12" s="15"/>
      <x:c r="F12" s="15"/>
      <x:c r="G12" s="15"/>
      <x:c r="H12" s="15"/>
    </x:row>
    <x:row r="13" ht="29" customHeight="1">
      <x:c r="A13" s="19" t="str">
        <x:v>6  Refer to “Filled Examples” for realistic UI, API and database test cases.</x:v>
      </x:c>
      <x:c r="B13" s="19"/>
      <x:c r="C13" s="19"/>
      <x:c r="D13" s="19"/>
      <x:c r="E13" s="19"/>
      <x:c r="F13" s="19"/>
      <x:c r="G13" s="19"/>
      <x:c r="H13" s="19"/>
    </x:row>
    <x:row r="16" ht="28" customHeight="1">
      <x:c r="A16" s="11" t="str">
        <x:v>WRITING GOOD TEST CASES</x:v>
      </x:c>
      <x:c r="B16" s="11"/>
      <x:c r="C16" s="11"/>
      <x:c r="D16" s="11"/>
      <x:c r="E16" s="11"/>
      <x:c r="F16" s="11"/>
      <x:c r="G16" s="11"/>
      <x:c r="H16" s="11"/>
    </x:row>
    <x:row r="18" ht="29" customHeight="1">
      <x:c r="A18" s="15" t="str">
        <x:v>•  Use precise starting conditions (logged-in role, application state, environment, and required data).</x:v>
      </x:c>
      <x:c r="B18" s="15"/>
      <x:c r="C18" s="15"/>
      <x:c r="D18" s="15"/>
      <x:c r="E18" s="15"/>
      <x:c r="F18" s="15"/>
      <x:c r="G18" s="15"/>
      <x:c r="H18" s="15"/>
    </x:row>
    <x:row r="19" ht="29" customHeight="1">
      <x:c r="A19" s="19" t="str">
        <x:v>•  Number the test steps, make them repeatable, and avoid vague instructions such as “test checkout.”</x:v>
      </x:c>
      <x:c r="B19" s="19"/>
      <x:c r="C19" s="19"/>
      <x:c r="D19" s="19"/>
      <x:c r="E19" s="19"/>
      <x:c r="F19" s="19"/>
      <x:c r="G19" s="19"/>
      <x:c r="H19" s="19"/>
    </x:row>
    <x:row r="20" ht="29" customHeight="1">
      <x:c r="A20" s="15" t="str">
        <x:v>•  Describe the expected outcome in observable terms; avoid just writing “works fine.”</x:v>
      </x:c>
      <x:c r="B20" s="15"/>
      <x:c r="C20" s="15"/>
      <x:c r="D20" s="15"/>
      <x:c r="E20" s="15"/>
      <x:c r="F20" s="15"/>
      <x:c r="G20" s="15"/>
      <x:c r="H20" s="15"/>
    </x:row>
    <x:row r="21" ht="29" customHeight="1">
      <x:c r="A21" s="19" t="str">
        <x:v>•  Separate positive, negative, boundary and error-handling scenarios where valuable.</x:v>
      </x:c>
      <x:c r="B21" s="19"/>
      <x:c r="C21" s="19"/>
      <x:c r="D21" s="19"/>
      <x:c r="E21" s="19"/>
      <x:c r="F21" s="19"/>
      <x:c r="G21" s="19"/>
      <x:c r="H21" s="19"/>
    </x:row>
    <x:row r="22" ht="29" customHeight="1">
      <x:c r="A22" s="15" t="str">
        <x:v>•  Never enter real passwords, tokens, customer data or payment card details in shared trackers.</x:v>
      </x:c>
      <x:c r="B22" s="15"/>
      <x:c r="C22" s="15"/>
      <x:c r="D22" s="15"/>
      <x:c r="E22" s="15"/>
      <x:c r="F22" s="15"/>
      <x:c r="G22" s="15"/>
      <x:c r="H22" s="15"/>
    </x:row>
    <x:row r="25" ht="27" customHeight="1">
      <x:c r="A25" s="11" t="str">
        <x:v>STATUS GUIDE</x:v>
      </x:c>
      <x:c r="B25" s="11"/>
      <x:c r="C25" s="11"/>
      <x:c r="D25" s="11"/>
      <x:c r="E25" s="11"/>
      <x:c r="F25" s="11"/>
      <x:c r="G25" s="11"/>
      <x:c r="H25" s="11"/>
    </x:row>
    <x:row r="27" ht="28" customHeight="1">
      <x:c r="A27" s="22" t="str">
        <x:v>Pass</x:v>
      </x:c>
      <x:c r="B27" s="22"/>
      <x:c r="C27" s="15" t="str">
        <x:v>Expected and actual results match.</x:v>
      </x:c>
      <x:c r="D27" s="15"/>
      <x:c r="E27" s="15"/>
      <x:c r="F27" s="15"/>
      <x:c r="G27" s="15"/>
      <x:c r="H27" s="15"/>
    </x:row>
    <x:row r="28" ht="28" customHeight="1">
      <x:c r="A28" s="24" t="str">
        <x:v>Fail</x:v>
      </x:c>
      <x:c r="B28" s="24"/>
      <x:c r="C28" s="19" t="str">
        <x:v>Actual result differs from the expected result; record a defect reference.</x:v>
      </x:c>
      <x:c r="D28" s="19"/>
      <x:c r="E28" s="19"/>
      <x:c r="F28" s="19"/>
      <x:c r="G28" s="19"/>
      <x:c r="H28" s="19"/>
    </x:row>
    <x:row r="29" ht="28" customHeight="1">
      <x:c r="A29" s="22" t="str">
        <x:v>Blocked</x:v>
      </x:c>
      <x:c r="B29" s="22"/>
      <x:c r="C29" s="15" t="str">
        <x:v>Execution cannot proceed because of a dependency or environment issue.</x:v>
      </x:c>
      <x:c r="D29" s="15"/>
      <x:c r="E29" s="15"/>
      <x:c r="F29" s="15"/>
      <x:c r="G29" s="15"/>
      <x:c r="H29" s="15"/>
    </x:row>
    <x:row r="30" ht="28" customHeight="1">
      <x:c r="A30" s="24" t="str">
        <x:v>Not Run</x:v>
      </x:c>
      <x:c r="B30" s="24"/>
      <x:c r="C30" s="19" t="str">
        <x:v>Test case has not been executed.</x:v>
      </x:c>
      <x:c r="D30" s="19"/>
      <x:c r="E30" s="19"/>
      <x:c r="F30" s="19"/>
      <x:c r="G30" s="19"/>
      <x:c r="H30" s="19"/>
    </x:row>
    <x:row r="31" ht="28" customHeight="1">
      <x:c r="A31" s="22" t="str">
        <x:v>Not Applicable</x:v>
      </x:c>
      <x:c r="B31" s="22"/>
      <x:c r="C31" s="15" t="str">
        <x:v>Test is not relevant to the current scope.</x:v>
      </x:c>
      <x:c r="D31" s="15"/>
      <x:c r="E31" s="15"/>
      <x:c r="F31" s="15"/>
      <x:c r="G31" s="15"/>
      <x:c r="H31" s="15"/>
    </x:row>
    <x:row r="34" ht="26" customHeight="1">
      <x:c r="A34" s="26" t="str">
        <x:v>PRACTICAL QA PRESS  •  Free learning resource  •  Fictional example data only</x:v>
      </x:c>
      <x:c r="B34" s="26"/>
      <x:c r="C34" s="26"/>
      <x:c r="D34" s="26"/>
      <x:c r="E34" s="26"/>
      <x:c r="F34" s="26"/>
      <x:c r="G34" s="26"/>
      <x:c r="H34" s="26"/>
    </x:row>
  </x:sheetData>
  <x:mergeCells>
    <x:mergeCell ref="A1:H2"/>
    <x:mergeCell ref="A4:H4"/>
    <x:mergeCell ref="A6:H6"/>
    <x:mergeCell ref="A8:H8"/>
    <x:mergeCell ref="A9:H9"/>
    <x:mergeCell ref="A10:H10"/>
    <x:mergeCell ref="A11:H11"/>
    <x:mergeCell ref="A12:H12"/>
    <x:mergeCell ref="A13:H13"/>
    <x:mergeCell ref="A16:H16"/>
    <x:mergeCell ref="A18:H18"/>
    <x:mergeCell ref="A19:H19"/>
    <x:mergeCell ref="A20:H20"/>
    <x:mergeCell ref="A21:H21"/>
    <x:mergeCell ref="A22:H22"/>
    <x:mergeCell ref="A25:H25"/>
    <x:mergeCell ref="A27:B27"/>
    <x:mergeCell ref="C27:H27"/>
    <x:mergeCell ref="A28:B28"/>
    <x:mergeCell ref="C28:H28"/>
    <x:mergeCell ref="A29:B29"/>
    <x:mergeCell ref="C29:H29"/>
    <x:mergeCell ref="A30:B30"/>
    <x:mergeCell ref="C30:H30"/>
    <x:mergeCell ref="A31:B31"/>
    <x:mergeCell ref="C31:H31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37" hidden="0" customWidth="1"/>
    <x:col min="4" max="4" width="19" hidden="0" customWidth="1"/>
    <x:col min="5" max="5" width="14" hidden="0" customWidth="1"/>
    <x:col min="6" max="6" width="35" hidden="0" customWidth="1"/>
    <x:col min="7" max="7" width="46" hidden="0" customWidth="1"/>
    <x:col min="8" max="8" width="29" hidden="0" customWidth="1"/>
    <x:col min="9" max="9" width="42" hidden="0" customWidth="1"/>
    <x:col min="10" max="10" width="42" hidden="0" customWidth="1"/>
    <x:col min="11" max="11" width="19" hidden="0" customWidth="1"/>
    <x:col min="12" max="12" width="18" hidden="0" customWidth="1"/>
    <x:col min="13" max="13" width="34" hidden="0" customWidth="1"/>
  </x:cols>
  <x:sheetData>
    <x:row r="1" ht="24" customHeight="1">
      <x:c r="A1" s="4" t="str">
        <x:v>TEST CASE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5" customHeight="1">
      <x:c r="A3" s="28" t="str">
        <x:v>PRACTICAL QA PRESS  •  Record test coverage, execution results and linked defects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5" ht="25" customHeight="1">
      <x:c r="A5" s="22" t="str">
        <x:v>TOTAL CASES</x:v>
      </x:c>
      <x:c r="B5" s="32" t="n">
        <x:f>COUNTA(A10:A59)</x:f>
        <x:v>0</x:v>
      </x:c>
      <x:c r="C5" s="22" t="str">
        <x:v>PASSED</x:v>
      </x:c>
      <x:c r="D5" s="32" t="n">
        <x:f>COUNTIF(K10:K59,"Pass")</x:f>
        <x:v>0</x:v>
      </x:c>
      <x:c r="E5" s="22" t="str">
        <x:v>FAILED</x:v>
      </x:c>
      <x:c r="F5" s="32" t="n">
        <x:f>COUNTIF(K10:K59,"Fail")</x:f>
        <x:v>0</x:v>
      </x:c>
      <x:c r="G5" s="22" t="str">
        <x:v>BLOCKED</x:v>
      </x:c>
      <x:c r="H5" s="32" t="n">
        <x:f>COUNTIF(K10:K59,"Blocked")</x:f>
        <x:v>0</x:v>
      </x:c>
      <x:c r="I5" s="22" t="str">
        <x:v>NOT RUN</x:v>
      </x:c>
      <x:c r="J5" s="32" t="n">
        <x:f>COUNTIF(K10:K59,"Not Run")</x:f>
        <x:v>0</x:v>
      </x:c>
      <x:c r="K5" s="22" t="str">
        <x:v>PASS RATE</x:v>
      </x:c>
      <x:c r="L5" s="34" t="n">
        <x:f>IFERROR(D5/B5,0)</x:f>
        <x:v>0</x:v>
      </x:c>
    </x:row>
    <x:row r="7" ht="25" customHeight="1">
      <x:c r="A7" s="36" t="str">
        <x:v>Enter test cases from row 10. Dropdowns are available in Test Type, Priority and Status. Scroll horizontally to see all fields.</x:v>
      </x:c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</x:row>
    <x:row r="9" ht="34" customHeight="1">
      <x:c r="A9" s="40" t="str">
        <x:v>Test Case ID</x:v>
      </x:c>
      <x:c r="B9" s="40" t="str">
        <x:v>Module / Feature</x:v>
      </x:c>
      <x:c r="C9" s="40" t="str">
        <x:v>Test Scenario</x:v>
      </x:c>
      <x:c r="D9" s="40" t="str">
        <x:v>Test Type</x:v>
      </x:c>
      <x:c r="E9" s="40" t="str">
        <x:v>Priority</x:v>
      </x:c>
      <x:c r="F9" s="40" t="str">
        <x:v>Preconditions</x:v>
      </x:c>
      <x:c r="G9" s="40" t="str">
        <x:v>Test Steps</x:v>
      </x:c>
      <x:c r="H9" s="40" t="str">
        <x:v>Test Data</x:v>
      </x:c>
      <x:c r="I9" s="40" t="str">
        <x:v>Expected Result</x:v>
      </x:c>
      <x:c r="J9" s="40" t="str">
        <x:v>Actual Result</x:v>
      </x:c>
      <x:c r="K9" s="40" t="str">
        <x:v>Status</x:v>
      </x:c>
      <x:c r="L9" s="40" t="str">
        <x:v>Defect ID</x:v>
      </x:c>
      <x:c r="M9" s="40" t="str">
        <x:v>Notes / Evidence</x:v>
      </x:c>
    </x:row>
    <x:row r="10" ht="40" customHeight="1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</x:row>
    <x:row r="11" ht="40" customHeight="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</x:row>
    <x:row r="12" ht="40" customHeight="1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</x:row>
    <x:row r="13" ht="40" customHeight="1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</x:row>
    <x:row r="14" ht="40" customHeight="1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</x:row>
    <x:row r="15" ht="40" customHeight="1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</x:row>
    <x:row r="16" ht="40" customHeight="1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</x:row>
    <x:row r="17" ht="40" customHeight="1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</x:row>
    <x:row r="18" ht="40" customHeight="1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</x:row>
    <x:row r="19" ht="40" customHeight="1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</x:row>
    <x:row r="20" ht="40" customHeight="1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</x:row>
    <x:row r="21" ht="40" customHeight="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</x:row>
    <x:row r="22" ht="40" customHeight="1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</x:row>
    <x:row r="23" ht="40" customHeight="1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</x:row>
    <x:row r="24" ht="40" customHeight="1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</x:row>
    <x:row r="25" ht="40" customHeight="1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</x:row>
    <x:row r="26" ht="40" customHeight="1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</x:row>
    <x:row r="27" ht="40" customHeight="1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</x:row>
    <x:row r="28" ht="40" customHeight="1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</x:row>
    <x:row r="29" ht="40" customHeight="1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</x:row>
    <x:row r="30" ht="40" customHeight="1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</x:row>
    <x:row r="31" ht="40" customHeight="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</x:row>
    <x:row r="32" ht="40" customHeight="1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</x:row>
    <x:row r="33" ht="40" customHeight="1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</x:row>
    <x:row r="34" ht="40" customHeight="1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</x:row>
    <x:row r="35" ht="40" customHeight="1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</x:row>
    <x:row r="36" ht="40" customHeight="1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</x:row>
    <x:row r="37" ht="40" customHeight="1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</x:row>
    <x:row r="38" ht="40" customHeight="1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</x:row>
    <x:row r="39" ht="40" customHeight="1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</x:row>
    <x:row r="40" ht="40" customHeight="1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</x:row>
    <x:row r="41" ht="40" customHeight="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</x:row>
    <x:row r="42" ht="40" customHeight="1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</x:row>
    <x:row r="43" ht="40" customHeight="1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</x:row>
    <x:row r="44" ht="40" customHeight="1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</x:row>
    <x:row r="45" ht="40" customHeight="1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</x:row>
    <x:row r="46" ht="40" customHeight="1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</x:row>
    <x:row r="47" ht="40" customHeight="1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</x:row>
    <x:row r="48" ht="40" customHeight="1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</x:row>
    <x:row r="49" ht="40" customHeight="1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</x:row>
    <x:row r="50" ht="40" customHeight="1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</x:row>
    <x:row r="51" ht="40" customHeight="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</x:row>
    <x:row r="52" ht="40" customHeight="1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</x:row>
    <x:row r="53" ht="40" customHeight="1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</x:row>
    <x:row r="54" ht="40" customHeight="1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</x:row>
    <x:row r="55" ht="40" customHeight="1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</x:row>
    <x:row r="56" ht="40" customHeight="1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</x:row>
    <x:row r="57" ht="40" customHeight="1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</x:row>
    <x:row r="58" ht="40" customHeight="1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</x:row>
    <x:row r="59" ht="40" customHeight="1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</x:row>
  </x:sheetData>
  <x:mergeCells>
    <x:mergeCell ref="A1:M2"/>
    <x:mergeCell ref="A3:M3"/>
    <x:mergeCell ref="A7:M7"/>
  </x:mergeCells>
  <x:conditionalFormatting sqref="K10:K59">
    <x:cfRule type="expression" dxfId="0" priority="1">
      <x:formula>K10="Pass"</x:formula>
    </x:cfRule>
    <x:cfRule type="expression" dxfId="1" priority="2">
      <x:formula>K10="Fail"</x:formula>
    </x:cfRule>
    <x:cfRule type="expression" dxfId="2" priority="3">
      <x:formula>K10="Blocked"</x:formula>
    </x:cfRule>
    <x:cfRule type="expression" dxfId="3" priority="4">
      <x:formula>K10="Not Run"</x:formula>
    </x:cfRule>
    <x:cfRule type="expression" dxfId="4" priority="5">
      <x:formula>K10="Not Applicable"</x:formula>
    </x:cfRule>
  </x:conditionalFormatting>
  <x:dataValidations count="3">
    <x:dataValidation type="list" sqref="D10:D59">
      <x:formula1>"Functional,API,Database,Integration,Regression,Smoke,Security,Other"</x:formula1>
    </x:dataValidation>
    <x:dataValidation type="list" sqref="E10:E59">
      <x:formula1>"Critical,High,Medium,Low"</x:formula1>
    </x:dataValidation>
    <x:dataValidation type="list" sqref="K10:K59">
      <x:formula1>"Not Run,Pass,Fail,Blocked,Not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37" hidden="0" customWidth="1"/>
    <x:col min="4" max="4" width="19" hidden="0" customWidth="1"/>
    <x:col min="5" max="5" width="14" hidden="0" customWidth="1"/>
    <x:col min="6" max="6" width="35" hidden="0" customWidth="1"/>
    <x:col min="7" max="7" width="46" hidden="0" customWidth="1"/>
    <x:col min="8" max="8" width="29" hidden="0" customWidth="1"/>
    <x:col min="9" max="9" width="42" hidden="0" customWidth="1"/>
    <x:col min="10" max="10" width="42" hidden="0" customWidth="1"/>
    <x:col min="11" max="11" width="19" hidden="0" customWidth="1"/>
    <x:col min="12" max="12" width="18" hidden="0" customWidth="1"/>
    <x:col min="13" max="13" width="34" hidden="0" customWidth="1"/>
  </x:cols>
  <x:sheetData>
    <x:row r="1" ht="24" customHeight="1">
      <x:c r="A1" s="3" t="str">
        <x:v>FILLED EXAMPLES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6" customHeight="1">
      <x:c r="A3" s="28" t="str">
        <x:v>Six fictional examples: successful, failed and blocked tests. Copy a row into the tracker and adapt it to your system.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5" ht="34" customHeight="1">
      <x:c r="A5" s="40" t="str">
        <x:v>Test Case ID</x:v>
      </x:c>
      <x:c r="B5" s="40" t="str">
        <x:v>Module / Feature</x:v>
      </x:c>
      <x:c r="C5" s="40" t="str">
        <x:v>Test Scenario</x:v>
      </x:c>
      <x:c r="D5" s="40" t="str">
        <x:v>Test Type</x:v>
      </x:c>
      <x:c r="E5" s="40" t="str">
        <x:v>Priority</x:v>
      </x:c>
      <x:c r="F5" s="40" t="str">
        <x:v>Preconditions</x:v>
      </x:c>
      <x:c r="G5" s="40" t="str">
        <x:v>Test Steps</x:v>
      </x:c>
      <x:c r="H5" s="40" t="str">
        <x:v>Test Data</x:v>
      </x:c>
      <x:c r="I5" s="40" t="str">
        <x:v>Expected Result</x:v>
      </x:c>
      <x:c r="J5" s="40" t="str">
        <x:v>Actual Result</x:v>
      </x:c>
      <x:c r="K5" s="40" t="str">
        <x:v>Status</x:v>
      </x:c>
      <x:c r="L5" s="40" t="str">
        <x:v>Defect ID</x:v>
      </x:c>
      <x:c r="M5" s="40" t="str">
        <x:v>Notes / Evidence</x:v>
      </x:c>
    </x:row>
    <x:row r="6" ht="94" customHeight="1">
      <x:c r="A6" s="50" t="str">
        <x:v>TC-001</x:v>
      </x:c>
      <x:c r="B6" s="50" t="str">
        <x:v>Authentication / Login</x:v>
      </x:c>
      <x:c r="C6" s="50" t="str">
        <x:v>User logs in with valid credentials</x:v>
      </x:c>
      <x:c r="D6" s="50" t="str">
        <x:v>Functional</x:v>
      </x:c>
      <x:c r="E6" s="50" t="str">
        <x:v>High</x:v>
      </x:c>
      <x:c r="F6" s="50" t="str">
        <x:v>Active test user exists; user is logged out.</x:v>
      </x:c>
      <x:c r="G6" s="50" t="str">
        <x:v>1. Open login page.
2. Enter valid username and password.
3. Select Sign in.</x:v>
      </x:c>
      <x:c r="H6" s="50" t="str">
        <x:v>qa_user@example.test / [test password]</x:v>
      </x:c>
      <x:c r="I6" s="50" t="str">
        <x:v>User is authenticated and navigates to dashboard.</x:v>
      </x:c>
      <x:c r="J6" s="50" t="str">
        <x:v>Dashboard displayed; session started.</x:v>
      </x:c>
      <x:c r="K6" s="50" t="str">
        <x:v>Pass</x:v>
      </x:c>
      <x:c r="L6" s="50" t="str"/>
      <x:c r="M6" s="50" t="str">
        <x:v>Positive path; do not store actual passwords.</x:v>
      </x:c>
    </x:row>
    <x:row r="7" ht="94" customHeight="1">
      <x:c r="A7" s="46" t="str">
        <x:v>TC-002</x:v>
      </x:c>
      <x:c r="B7" s="46" t="str">
        <x:v>Authentication / Login</x:v>
      </x:c>
      <x:c r="C7" s="46" t="str">
        <x:v>Wrong password does not create session</x:v>
      </x:c>
      <x:c r="D7" s="46" t="str">
        <x:v>Functional</x:v>
      </x:c>
      <x:c r="E7" s="46" t="str">
        <x:v>High</x:v>
      </x:c>
      <x:c r="F7" s="46" t="str">
        <x:v>Active test user exists; user is logged out.</x:v>
      </x:c>
      <x:c r="G7" s="46" t="str">
        <x:v>1. Open login page.
2. Enter valid username and invalid password.
3. Select Sign in.</x:v>
      </x:c>
      <x:c r="H7" s="46" t="str">
        <x:v>qa_user@example.test / wrong-pass</x:v>
      </x:c>
      <x:c r="I7" s="46" t="str">
        <x:v>Generic error shown; access is denied; no authenticated session.</x:v>
      </x:c>
      <x:c r="J7" s="46" t="str">
        <x:v>Error shown; access denied.</x:v>
      </x:c>
      <x:c r="K7" s="46" t="str">
        <x:v>Pass</x:v>
      </x:c>
      <x:c r="L7" s="46" t="str"/>
      <x:c r="M7" s="46" t="str">
        <x:v>Negative login scenario.</x:v>
      </x:c>
    </x:row>
    <x:row r="8" ht="94" customHeight="1">
      <x:c r="A8" s="50" t="str">
        <x:v>TC-003</x:v>
      </x:c>
      <x:c r="B8" s="50" t="str">
        <x:v>Checkout / Promotions</x:v>
      </x:c>
      <x:c r="C8" s="50" t="str">
        <x:v>Expired promo code is rejected</x:v>
      </x:c>
      <x:c r="D8" s="50" t="str">
        <x:v>Functional</x:v>
      </x:c>
      <x:c r="E8" s="50" t="str">
        <x:v>Medium</x:v>
      </x:c>
      <x:c r="F8" s="50" t="str">
        <x:v>Cart contains an eligible item. Discount campaign is expired.</x:v>
      </x:c>
      <x:c r="G8" s="50" t="str">
        <x:v>1. Add item to cart.
2. Enter expired promo code.
3. Apply code.</x:v>
      </x:c>
      <x:c r="H8" s="50" t="str">
        <x:v>EXPIRED10 (fictional)</x:v>
      </x:c>
      <x:c r="I8" s="50" t="str">
        <x:v>Promotion rejected; cart total remains unchanged.</x:v>
      </x:c>
      <x:c r="J8" s="50" t="str">
        <x:v>10% discount was applied.</x:v>
      </x:c>
      <x:c r="K8" s="50" t="str">
        <x:v>Fail</x:v>
      </x:c>
      <x:c r="L8" s="50" t="str">
        <x:v>BUG-104</x:v>
      </x:c>
      <x:c r="M8" s="50" t="str">
        <x:v>Example defect ID; use your team's tracker.</x:v>
      </x:c>
    </x:row>
    <x:row r="9" ht="94" customHeight="1">
      <x:c r="A9" s="46" t="str">
        <x:v>TC-004</x:v>
      </x:c>
      <x:c r="B9" s="46" t="str">
        <x:v>Orders API</x:v>
      </x:c>
      <x:c r="C9" s="46" t="str">
        <x:v>Duplicate POST with same idempotency key creates one order</x:v>
      </x:c>
      <x:c r="D9" s="46" t="str">
        <x:v>API</x:v>
      </x:c>
      <x:c r="E9" s="46" t="str">
        <x:v>Critical</x:v>
      </x:c>
      <x:c r="F9" s="46" t="str">
        <x:v>Test API and payment sandbox available; valid API test account.</x:v>
      </x:c>
      <x:c r="G9" s="46" t="str">
        <x:v>1. POST /orders with an idempotency key.
2. Retry same request with same key.
3. Check order count and payment events.</x:v>
      </x:c>
      <x:c r="H9" s="46" t="str">
        <x:v>key=test-123; payment sandbox data</x:v>
      </x:c>
      <x:c r="I9" s="46" t="str">
        <x:v>Single order and single payment; retry returns same outcome.</x:v>
      </x:c>
      <x:c r="J9" s="46" t="str">
        <x:v>Two payment events detected.</x:v>
      </x:c>
      <x:c r="K9" s="46" t="str">
        <x:v>Fail</x:v>
      </x:c>
      <x:c r="L9" s="46" t="str">
        <x:v>BUG-112</x:v>
      </x:c>
      <x:c r="M9" s="46" t="str">
        <x:v>Use sandbox or mock payment provider only.</x:v>
      </x:c>
    </x:row>
    <x:row r="10" ht="94" customHeight="1">
      <x:c r="A10" s="50" t="str">
        <x:v>TC-005</x:v>
      </x:c>
      <x:c r="B10" s="50" t="str">
        <x:v>Customer DB</x:v>
      </x:c>
      <x:c r="C10" s="50" t="str">
        <x:v>Updated profile value persists in database</x:v>
      </x:c>
      <x:c r="D10" s="50" t="str">
        <x:v>Database</x:v>
      </x:c>
      <x:c r="E10" s="50" t="str">
        <x:v>Medium</x:v>
      </x:c>
      <x:c r="F10" s="50" t="str">
        <x:v>Test customer exists; read-only SQL access to test database.</x:v>
      </x:c>
      <x:c r="G10" s="50" t="str">
        <x:v>1. Update address in UI.
2. Query customer record.
3. Compare stored value with UI.</x:v>
      </x:c>
      <x:c r="H10" s="50" t="str">
        <x:v>Synthetic customer ID: 2048; city: Nairobi</x:v>
      </x:c>
      <x:c r="I10" s="50" t="str">
        <x:v>Database reflects the saved address; no duplicate record.</x:v>
      </x:c>
      <x:c r="J10" s="50" t="str">
        <x:v>Saved address matches database value.</x:v>
      </x:c>
      <x:c r="K10" s="50" t="str">
        <x:v>Pass</x:v>
      </x:c>
      <x:c r="L10" s="50" t="str"/>
      <x:c r="M10" s="50" t="str">
        <x:v>Use anonymized/synthetic records.</x:v>
      </x:c>
    </x:row>
    <x:row r="11" ht="94" customHeight="1">
      <x:c r="A11" s="46" t="str">
        <x:v>TC-006</x:v>
      </x:c>
      <x:c r="B11" s="46" t="str">
        <x:v>Cart</x:v>
      </x:c>
      <x:c r="C11" s="46" t="str">
        <x:v>Maximum quantity validation</x:v>
      </x:c>
      <x:c r="D11" s="46" t="str">
        <x:v>Functional</x:v>
      </x:c>
      <x:c r="E11" s="46" t="str">
        <x:v>Medium</x:v>
      </x:c>
      <x:c r="F11" s="46" t="str">
        <x:v>Cart service and test inventory must be online.</x:v>
      </x:c>
      <x:c r="G11" s="46" t="str">
        <x:v>1. Open cart.
2. Change quantity above allowed maximum.
3. Observe validation.</x:v>
      </x:c>
      <x:c r="H11" s="46" t="str">
        <x:v>Test item SKU-1001; quantity 999</x:v>
      </x:c>
      <x:c r="I11" s="46" t="str">
        <x:v>Quantity is rejected with clear limit message.</x:v>
      </x:c>
      <x:c r="J11" s="46" t="str">
        <x:v>Could not execute: cart test environment unavailable.</x:v>
      </x:c>
      <x:c r="K11" s="46" t="str">
        <x:v>Blocked</x:v>
      </x:c>
      <x:c r="L11" s="46" t="str"/>
      <x:c r="M11" s="46" t="str">
        <x:v>Retry after environment recovery.</x:v>
      </x:c>
    </x:row>
  </x:sheetData>
  <x:mergeCells>
    <x:mergeCell ref="A1:M2"/>
    <x:mergeCell ref="A3:M3"/>
  </x:mergeCells>
  <x:conditionalFormatting sqref="K6:K11">
    <x:cfRule type="expression" dxfId="5" priority="1">
      <x:formula>K6="Pass"</x:formula>
    </x:cfRule>
    <x:cfRule type="expression" dxfId="6" priority="2">
      <x:formula>K6="Fail"</x:formula>
    </x:cfRule>
    <x:cfRule type="expression" dxfId="7" priority="3">
      <x:formula>K6="Blocked"</x:formula>
    </x:cfRule>
  </x:conditionalFormatting>
  <x:pageMargins left="0.7" right="0.7" top="0.75" bottom="0.75" header="0.3" footer="0.3"/>
</x:worksheet>
</file>